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入党推优\"/>
    </mc:Choice>
  </mc:AlternateContent>
  <xr:revisionPtr revIDLastSave="0" documentId="13_ncr:1_{9D06AE5C-35AA-43F9-B6F0-FA09CA73D6CA}" xr6:coauthVersionLast="47" xr6:coauthVersionMax="47" xr10:uidLastSave="{00000000-0000-0000-0000-000000000000}"/>
  <bookViews>
    <workbookView xWindow="-120" yWindow="-120" windowWidth="29040" windowHeight="15720" xr2:uid="{00000000-000D-0000-FFFF-FFFF00000000}"/>
  </bookViews>
  <sheets>
    <sheet name="Sheet2" sheetId="2" r:id="rId1"/>
  </sheets>
  <calcPr calcId="19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6" i="2" l="1"/>
  <c r="F23" i="2"/>
  <c r="F19" i="2"/>
  <c r="F10" i="2"/>
  <c r="F15" i="2"/>
  <c r="B27" i="2" l="1"/>
</calcChain>
</file>

<file path=xl/sharedStrings.xml><?xml version="1.0" encoding="utf-8"?>
<sst xmlns="http://schemas.openxmlformats.org/spreadsheetml/2006/main" count="76" uniqueCount="74">
  <si>
    <t>指标</t>
  </si>
  <si>
    <t>序号</t>
  </si>
  <si>
    <t>内容</t>
  </si>
  <si>
    <t>评价标准</t>
  </si>
  <si>
    <t>加分依据</t>
  </si>
  <si>
    <t>分数</t>
  </si>
  <si>
    <t>审核人
（支委成员）</t>
  </si>
  <si>
    <t>负责人
（辅导员）</t>
  </si>
  <si>
    <t>在琼培养</t>
  </si>
  <si>
    <t>违纪违法</t>
  </si>
  <si>
    <t>无违纪行为、无挂科</t>
  </si>
  <si>
    <t>6分</t>
  </si>
  <si>
    <t>任职情况</t>
  </si>
  <si>
    <t>团委团副、研会/研科协主席团任职</t>
  </si>
  <si>
    <t>8分</t>
  </si>
  <si>
    <t>团委、研会、研科协部门负责人、班级主要干部任职（班长、团支书）</t>
  </si>
  <si>
    <t>任职情况总分</t>
  </si>
  <si>
    <t>学术成果</t>
  </si>
  <si>
    <t>T类论文</t>
  </si>
  <si>
    <t>学术成果应以武汉理工大学三亚科教创新园为第一单位，学生应为除导师外第一作者</t>
  </si>
  <si>
    <t>SCI、SSCI、A&amp;HCI论文</t>
  </si>
  <si>
    <t>学术成果总分</t>
  </si>
  <si>
    <t>大型活动参与度</t>
  </si>
  <si>
    <t>参加组织的各类活动、讲座</t>
  </si>
  <si>
    <t>1分/次，上限10次</t>
  </si>
  <si>
    <t>参与校、院两级文体竞赛活动次数
（例：新生才艺大赛、运动会等）（同种比赛最高算，不累计）</t>
  </si>
  <si>
    <t>国家级获奖：5分/次
省级获奖：4分/次
校级获奖：3分/次
院级获奖：2分/次
集体得分减半</t>
  </si>
  <si>
    <t>参加各类创新创业、科技竞赛竞赛
（例：理工合伙人、挑战杯、研究生院认定的创新创业赛事等）（同种比赛最高算，不累计）</t>
  </si>
  <si>
    <t>综合素质</t>
  </si>
  <si>
    <t>个人/所在团队
获得国家级、省部级荣誉称号</t>
  </si>
  <si>
    <t>个人/所在团队
获得国家级、省部级媒体报道</t>
  </si>
  <si>
    <t>个人/所在团队
获得校/院级荣誉、荣誉称号
（奖学金不计入）</t>
  </si>
  <si>
    <t>2分/次
集体得分减半</t>
  </si>
  <si>
    <t>综合素质获得总分</t>
  </si>
  <si>
    <t>3分/次</t>
  </si>
  <si>
    <t>志愿服务获得总分</t>
  </si>
  <si>
    <t>综合得分</t>
  </si>
  <si>
    <t>综合排名</t>
  </si>
  <si>
    <t>基本条件</t>
  </si>
  <si>
    <t>基本素养</t>
  </si>
  <si>
    <t>思想进步，信念坚定，素质优良，承认党的纲领和章程，符合党员发展条件</t>
  </si>
  <si>
    <t>担任校、科教园、科教园班级主要学生干部
(取最高项，不累计，任满6个月)</t>
  </si>
  <si>
    <t>8分/1篇</t>
  </si>
  <si>
    <t>6分/1篇，若为会议论文减半</t>
  </si>
  <si>
    <t>EI论文、国家发明专利授权、普通中文核心期刊</t>
  </si>
  <si>
    <t>4分/1篇，若为会议论文、未授权其他状态减半</t>
  </si>
  <si>
    <t>其他成果</t>
  </si>
  <si>
    <t>1分/1项</t>
  </si>
  <si>
    <t>认定科教园或管理局举办的活动以及海南省或湖北省省级及以上活动</t>
  </si>
  <si>
    <t>国家级：10分
省部级：8分
市级：6分
集体得分减半</t>
  </si>
  <si>
    <t>国家级：8分
省部级：6分
市级：4分
集体得分减半</t>
  </si>
  <si>
    <t>参加各类志愿服务、党员服务行动</t>
  </si>
  <si>
    <t>（排名/总人数）</t>
  </si>
  <si>
    <t>注：此表相关内容与分值仅供参考后期根据实际情况进行调整</t>
  </si>
  <si>
    <r>
      <t>姓名：</t>
    </r>
    <r>
      <rPr>
        <b/>
        <sz val="12"/>
        <color rgb="FF000000"/>
        <rFont val="仿宋_GB2312"/>
        <family val="2"/>
        <charset val="134"/>
      </rPr>
      <t>          </t>
    </r>
    <r>
      <rPr>
        <b/>
        <sz val="12"/>
        <color rgb="FF000000"/>
        <rFont val="仿宋_GB2312"/>
        <family val="3"/>
        <charset val="134"/>
      </rPr>
      <t xml:space="preserve">      </t>
    </r>
    <r>
      <rPr>
        <b/>
        <sz val="12"/>
        <color rgb="FF000000"/>
        <rFont val="仿宋_GB2312"/>
        <family val="2"/>
        <charset val="134"/>
      </rPr>
      <t xml:space="preserve">      </t>
    </r>
    <r>
      <rPr>
        <b/>
        <sz val="12"/>
        <color rgb="FF000000"/>
        <rFont val="仿宋_GB2312"/>
        <family val="3"/>
        <charset val="134"/>
      </rPr>
      <t xml:space="preserve"> 班级：</t>
    </r>
    <r>
      <rPr>
        <b/>
        <sz val="12"/>
        <color rgb="FF000000"/>
        <rFont val="仿宋_GB2312"/>
        <family val="2"/>
        <charset val="134"/>
      </rPr>
      <t>                         </t>
    </r>
    <r>
      <rPr>
        <b/>
        <sz val="12"/>
        <color rgb="FF000000"/>
        <rFont val="仿宋_GB2312"/>
        <family val="3"/>
        <charset val="134"/>
      </rPr>
      <t xml:space="preserve"> 学号：</t>
    </r>
    <r>
      <rPr>
        <b/>
        <sz val="12"/>
        <color rgb="FF000000"/>
        <rFont val="仿宋_GB2312"/>
        <family val="2"/>
        <charset val="134"/>
      </rPr>
      <t>                          </t>
    </r>
    <r>
      <rPr>
        <b/>
        <sz val="12"/>
        <color rgb="FF000000"/>
        <rFont val="仿宋_GB2312"/>
        <family val="3"/>
        <charset val="134"/>
      </rPr>
      <t xml:space="preserve"> 导师：</t>
    </r>
    <r>
      <rPr>
        <b/>
        <sz val="12"/>
        <color rgb="FF000000"/>
        <rFont val="仿宋_GB2312"/>
        <family val="2"/>
        <charset val="134"/>
      </rPr>
      <t>    </t>
    </r>
    <r>
      <rPr>
        <b/>
        <sz val="12"/>
        <color rgb="FF000000"/>
        <rFont val="Calibri"/>
        <family val="2"/>
      </rPr>
      <t xml:space="preserve">
</t>
    </r>
    <r>
      <rPr>
        <b/>
        <sz val="12"/>
        <color rgb="FF000000"/>
        <rFont val="仿宋_GB2312"/>
        <family val="3"/>
        <charset val="134"/>
      </rPr>
      <t>所在支部：</t>
    </r>
    <phoneticPr fontId="1" type="noConversion"/>
  </si>
  <si>
    <t>测评总分</t>
    <phoneticPr fontId="1" type="noConversion"/>
  </si>
  <si>
    <t>注：以上所有项目都以成为积极分子后（本科认定的和研一第一批积极分子一起）开始计算，以测评表总分排序。</t>
    <phoneticPr fontId="1" type="noConversion"/>
  </si>
  <si>
    <t>班级一般干部、团委、研会、研科协干事</t>
    <phoneticPr fontId="1" type="noConversion"/>
  </si>
  <si>
    <t>3分</t>
    <phoneticPr fontId="1" type="noConversion"/>
  </si>
  <si>
    <t>同一类别取最高分;
一次活动只计算一次媒体报道;
不与前述获奖重复</t>
    <phoneticPr fontId="1" type="noConversion"/>
  </si>
  <si>
    <t>大型活动参与度总分</t>
    <phoneticPr fontId="1" type="noConversion"/>
  </si>
  <si>
    <t>由辅导员、组织员、支委打分并按系数计算</t>
    <phoneticPr fontId="1" type="noConversion"/>
  </si>
  <si>
    <t>三亚科教创新园入党积极分子考察测评表</t>
    <phoneticPr fontId="1" type="noConversion"/>
  </si>
  <si>
    <t>认定科教园或管理局举办的活动以及海南省或湖北省省级及以上活动，限科研类或创新创业类竞赛</t>
    <phoneticPr fontId="1" type="noConversion"/>
  </si>
  <si>
    <t>国家级获奖：10分/次
省级获奖：8分/次
校级获奖：6分/次
院级获奖：3分/次
集体得分减半</t>
    <phoneticPr fontId="1" type="noConversion"/>
  </si>
  <si>
    <t>1分/次</t>
    <phoneticPr fontId="1" type="noConversion"/>
  </si>
  <si>
    <t>志愿服务</t>
    <phoneticPr fontId="1" type="noConversion"/>
  </si>
  <si>
    <t>国际会议志愿者、特殊时期或工作志愿者、急难险重任务志愿者（与上一项不重复）</t>
    <phoneticPr fontId="1" type="noConversion"/>
  </si>
  <si>
    <t>上限10次（大型活动服务按天数计算次数）</t>
    <phoneticPr fontId="1" type="noConversion"/>
  </si>
  <si>
    <t>上一年度在琼培养满足200天</t>
    <phoneticPr fontId="1" type="noConversion"/>
  </si>
  <si>
    <t>展示得分</t>
    <phoneticPr fontId="1" type="noConversion"/>
  </si>
  <si>
    <t>总分：</t>
    <phoneticPr fontId="1" type="noConversion"/>
  </si>
  <si>
    <t>个人总结列为入党积极分子至今，思想、学习、科研、担当奉献等情况</t>
    <phoneticPr fontId="1" type="noConversion"/>
  </si>
  <si>
    <t>综合总结展示</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</si>
</sst>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宋体"/>
      <charset val="134"/>
      <scheme val="minor"/>
    </font>
    <font>
      <sz val="9"/>
      <name val="宋体"/>
      <family val="3"/>
      <charset val="134"/>
      <scheme val="minor"/>
    </font>
    <font>
      <b/>
      <sz val="12"/>
      <color rgb="FF000000"/>
      <name val="仿宋_GB2312"/>
      <family val="3"/>
      <charset val="134"/>
    </font>
    <font>
      <sz val="12"/>
      <color rgb="FF000000"/>
      <name val="仿宋_GB2312"/>
      <family val="3"/>
      <charset val="134"/>
    </font>
    <font>
      <sz val="12"/>
      <color rgb="FF9C5700"/>
      <name val="仿宋_GB2312"/>
      <family val="3"/>
      <charset val="134"/>
    </font>
    <font>
      <sz val="12"/>
      <color rgb="FFFF0000"/>
      <name val="仿宋_GB2312"/>
      <family val="3"/>
      <charset val="134"/>
    </font>
    <font>
      <b/>
      <sz val="12"/>
      <color rgb="FF000000"/>
      <name val="Calibri"/>
      <family val="2"/>
    </font>
    <font>
      <b/>
      <sz val="12"/>
      <color rgb="FF000000"/>
      <name val="仿宋_GB2312"/>
      <family val="2"/>
      <charset val="134"/>
    </font>
    <font>
      <sz val="20"/>
      <color rgb="FF000000"/>
      <name val="方正小标宋简体"/>
      <family val="4"/>
      <charset val="134"/>
    </font>
  </fonts>
  <fills count="5">
    <fill>
      <patternFill patternType="none"/>
    </fill>
    <fill>
      <patternFill patternType="gray125"/>
    </fill>
    <fill>
      <patternFill patternType="solid">
        <fgColor rgb="FFFDE9D9"/>
        <bgColor indexed="64"/>
      </patternFill>
    </fill>
    <fill>
      <patternFill patternType="solid">
        <fgColor indexed="65"/>
        <bgColor indexed="64"/>
      </patternFill>
    </fill>
    <fill>
      <patternFill patternType="solid">
        <fgColor rgb="FFFCD5B4"/>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pplyBorder="0"/>
  </cellStyleXfs>
  <cellXfs count="31">
    <xf numFmtId="0" fontId="0" fillId="0" borderId="0" xfId="0"/>
    <xf numFmtId="0" fontId="0" fillId="0" borderId="0" xfId="0" applyAlignment="1">
      <alignment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2" fillId="0" borderId="1" xfId="0" applyFont="1" applyBorder="1" applyAlignment="1">
      <alignment horizontal="center" vertical="center"/>
    </xf>
    <xf numFmtId="0" fontId="3" fillId="0" borderId="0" xfId="0" applyFont="1" applyAlignment="1">
      <alignment horizontal="left" vertical="center"/>
    </xf>
    <xf numFmtId="0" fontId="3" fillId="0" borderId="0" xfId="0" applyFont="1" applyAlignment="1">
      <alignment vertical="center"/>
    </xf>
    <xf numFmtId="0" fontId="3" fillId="0" borderId="0" xfId="0" applyFont="1" applyAlignment="1">
      <alignment vertical="center" wrapText="1"/>
    </xf>
    <xf numFmtId="0" fontId="5" fillId="0" borderId="1" xfId="0" applyFont="1" applyBorder="1" applyAlignment="1">
      <alignment horizontal="center" vertical="center"/>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3" fillId="0" borderId="1" xfId="0" applyFont="1" applyBorder="1" applyAlignment="1">
      <alignment horizontal="center" vertical="center"/>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2" fillId="0" borderId="1" xfId="0" applyFont="1" applyBorder="1" applyAlignment="1">
      <alignment horizontal="center" vertical="center" wrapText="1"/>
    </xf>
    <xf numFmtId="0" fontId="3" fillId="4" borderId="1"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8" fillId="0" borderId="0" xfId="0" applyFont="1" applyBorder="1" applyAlignment="1">
      <alignment horizontal="center" vertical="center"/>
    </xf>
    <xf numFmtId="0" fontId="2" fillId="0" borderId="1" xfId="0" applyFont="1" applyBorder="1" applyAlignment="1">
      <alignment horizontal="left" vertical="center" wrapText="1"/>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cellXfs>
  <cellStyles count="1">
    <cellStyle name="常规" xfId="0" builtinId="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6BD80-8874-40C5-AB62-016077B7D0BA}">
  <sheetPr>
    <pageSetUpPr fitToPage="1"/>
  </sheetPr>
  <dimension ref="A1:H31"/>
  <sheetViews>
    <sheetView tabSelected="1" zoomScale="115" zoomScaleNormal="115" workbookViewId="0">
      <selection activeCell="B30" sqref="B30:D30"/>
    </sheetView>
  </sheetViews>
  <sheetFormatPr defaultRowHeight="13.5" x14ac:dyDescent="0.15"/>
  <cols>
    <col min="1" max="1" width="18.875" customWidth="1"/>
    <col min="2" max="2" width="5.625" customWidth="1"/>
    <col min="3" max="3" width="37.375" style="1" customWidth="1"/>
    <col min="4" max="4" width="22.625" customWidth="1"/>
    <col min="5" max="5" width="19.375" customWidth="1"/>
    <col min="6" max="6" width="12.375" customWidth="1"/>
    <col min="7" max="7" width="11.25" customWidth="1"/>
    <col min="8" max="8" width="11.125" customWidth="1"/>
  </cols>
  <sheetData>
    <row r="1" spans="1:8" ht="39" customHeight="1" x14ac:dyDescent="0.15">
      <c r="A1" s="26" t="s">
        <v>62</v>
      </c>
      <c r="B1" s="26"/>
      <c r="C1" s="26"/>
      <c r="D1" s="26"/>
      <c r="E1" s="26"/>
      <c r="F1" s="26"/>
      <c r="G1" s="26"/>
      <c r="H1" s="26"/>
    </row>
    <row r="2" spans="1:8" ht="46.5" customHeight="1" x14ac:dyDescent="0.15">
      <c r="A2" s="27" t="s">
        <v>54</v>
      </c>
      <c r="B2" s="27"/>
      <c r="C2" s="27"/>
      <c r="D2" s="27"/>
      <c r="E2" s="27"/>
      <c r="F2" s="27"/>
      <c r="G2" s="27"/>
      <c r="H2" s="27"/>
    </row>
    <row r="3" spans="1:8" ht="42.75" x14ac:dyDescent="0.15">
      <c r="A3" s="2" t="s">
        <v>0</v>
      </c>
      <c r="B3" s="2" t="s">
        <v>1</v>
      </c>
      <c r="C3" s="2" t="s">
        <v>2</v>
      </c>
      <c r="D3" s="2" t="s">
        <v>3</v>
      </c>
      <c r="E3" s="2" t="s">
        <v>4</v>
      </c>
      <c r="F3" s="2" t="s">
        <v>5</v>
      </c>
      <c r="G3" s="2" t="s">
        <v>6</v>
      </c>
      <c r="H3" s="2" t="s">
        <v>7</v>
      </c>
    </row>
    <row r="4" spans="1:8" ht="27.75" customHeight="1" x14ac:dyDescent="0.15">
      <c r="A4" s="2" t="s">
        <v>8</v>
      </c>
      <c r="B4" s="2">
        <v>1</v>
      </c>
      <c r="C4" s="19" t="s">
        <v>69</v>
      </c>
      <c r="D4" s="19"/>
      <c r="E4" s="2">
        <v>0</v>
      </c>
      <c r="F4" s="2" t="s">
        <v>38</v>
      </c>
      <c r="G4" s="2"/>
      <c r="H4" s="2"/>
    </row>
    <row r="5" spans="1:8" ht="18.75" customHeight="1" x14ac:dyDescent="0.15">
      <c r="A5" s="2" t="s">
        <v>9</v>
      </c>
      <c r="B5" s="2">
        <v>1</v>
      </c>
      <c r="C5" s="19" t="s">
        <v>10</v>
      </c>
      <c r="D5" s="19"/>
      <c r="E5" s="2">
        <v>0</v>
      </c>
      <c r="F5" s="2" t="s">
        <v>38</v>
      </c>
      <c r="G5" s="2"/>
      <c r="H5" s="2"/>
    </row>
    <row r="6" spans="1:8" ht="48" customHeight="1" x14ac:dyDescent="0.15">
      <c r="A6" s="2" t="s">
        <v>39</v>
      </c>
      <c r="B6" s="2">
        <v>1</v>
      </c>
      <c r="C6" s="19" t="s">
        <v>40</v>
      </c>
      <c r="D6" s="19"/>
      <c r="E6" s="2">
        <v>0</v>
      </c>
      <c r="F6" s="2" t="s">
        <v>38</v>
      </c>
      <c r="G6" s="2"/>
      <c r="H6" s="2"/>
    </row>
    <row r="7" spans="1:8" ht="33.75" customHeight="1" x14ac:dyDescent="0.15">
      <c r="A7" s="19" t="s">
        <v>12</v>
      </c>
      <c r="B7" s="3">
        <v>1</v>
      </c>
      <c r="C7" s="4" t="s">
        <v>13</v>
      </c>
      <c r="D7" s="3" t="s">
        <v>14</v>
      </c>
      <c r="E7" s="21" t="s">
        <v>41</v>
      </c>
      <c r="F7" s="28"/>
      <c r="G7" s="3"/>
      <c r="H7" s="3"/>
    </row>
    <row r="8" spans="1:8" ht="34.5" customHeight="1" x14ac:dyDescent="0.15">
      <c r="A8" s="19"/>
      <c r="B8" s="3">
        <v>2</v>
      </c>
      <c r="C8" s="4" t="s">
        <v>15</v>
      </c>
      <c r="D8" s="3" t="s">
        <v>11</v>
      </c>
      <c r="E8" s="21"/>
      <c r="F8" s="29"/>
      <c r="G8" s="3"/>
      <c r="H8" s="3"/>
    </row>
    <row r="9" spans="1:8" ht="28.5" customHeight="1" x14ac:dyDescent="0.15">
      <c r="A9" s="19"/>
      <c r="B9" s="3">
        <v>3</v>
      </c>
      <c r="C9" s="4" t="s">
        <v>57</v>
      </c>
      <c r="D9" s="11" t="s">
        <v>58</v>
      </c>
      <c r="E9" s="21"/>
      <c r="F9" s="30"/>
      <c r="G9" s="3"/>
      <c r="H9" s="3"/>
    </row>
    <row r="10" spans="1:8" ht="19.5" customHeight="1" x14ac:dyDescent="0.15">
      <c r="A10" s="12" t="s">
        <v>16</v>
      </c>
      <c r="B10" s="13"/>
      <c r="C10" s="13"/>
      <c r="D10" s="13"/>
      <c r="E10" s="14"/>
      <c r="F10" s="5">
        <f>F7</f>
        <v>0</v>
      </c>
      <c r="G10" s="3"/>
      <c r="H10" s="3"/>
    </row>
    <row r="11" spans="1:8" ht="22.5" customHeight="1" x14ac:dyDescent="0.15">
      <c r="A11" s="19" t="s">
        <v>17</v>
      </c>
      <c r="B11" s="3">
        <v>1</v>
      </c>
      <c r="C11" s="4" t="s">
        <v>18</v>
      </c>
      <c r="D11" s="4" t="s">
        <v>42</v>
      </c>
      <c r="E11" s="21" t="s">
        <v>19</v>
      </c>
      <c r="F11" s="3"/>
      <c r="G11" s="3"/>
      <c r="H11" s="3"/>
    </row>
    <row r="12" spans="1:8" ht="33.75" customHeight="1" x14ac:dyDescent="0.15">
      <c r="A12" s="19"/>
      <c r="B12" s="3">
        <v>2</v>
      </c>
      <c r="C12" s="4" t="s">
        <v>20</v>
      </c>
      <c r="D12" s="4" t="s">
        <v>43</v>
      </c>
      <c r="E12" s="21"/>
      <c r="F12" s="3"/>
      <c r="G12" s="3"/>
      <c r="H12" s="3"/>
    </row>
    <row r="13" spans="1:8" ht="42.75" customHeight="1" x14ac:dyDescent="0.15">
      <c r="A13" s="19"/>
      <c r="B13" s="3">
        <v>3</v>
      </c>
      <c r="C13" s="4" t="s">
        <v>44</v>
      </c>
      <c r="D13" s="4" t="s">
        <v>45</v>
      </c>
      <c r="E13" s="21"/>
      <c r="F13" s="3"/>
      <c r="G13" s="3"/>
      <c r="H13" s="3"/>
    </row>
    <row r="14" spans="1:8" ht="21.75" customHeight="1" x14ac:dyDescent="0.15">
      <c r="A14" s="19"/>
      <c r="B14" s="3">
        <v>4</v>
      </c>
      <c r="C14" s="4" t="s">
        <v>46</v>
      </c>
      <c r="D14" s="4" t="s">
        <v>47</v>
      </c>
      <c r="E14" s="21"/>
      <c r="F14" s="3"/>
      <c r="G14" s="3"/>
      <c r="H14" s="3"/>
    </row>
    <row r="15" spans="1:8" ht="14.25" x14ac:dyDescent="0.15">
      <c r="A15" s="12" t="s">
        <v>21</v>
      </c>
      <c r="B15" s="13"/>
      <c r="C15" s="13"/>
      <c r="D15" s="13"/>
      <c r="E15" s="14"/>
      <c r="F15" s="5">
        <f>SUM(F11:F14)</f>
        <v>0</v>
      </c>
      <c r="G15" s="3"/>
      <c r="H15" s="3"/>
    </row>
    <row r="16" spans="1:8" ht="23.25" customHeight="1" x14ac:dyDescent="0.15">
      <c r="A16" s="19" t="s">
        <v>22</v>
      </c>
      <c r="B16" s="3">
        <v>1</v>
      </c>
      <c r="C16" s="4" t="s">
        <v>23</v>
      </c>
      <c r="D16" s="3" t="s">
        <v>24</v>
      </c>
      <c r="E16" s="21" t="s">
        <v>48</v>
      </c>
      <c r="F16" s="6"/>
      <c r="G16" s="3"/>
      <c r="H16" s="3"/>
    </row>
    <row r="17" spans="1:8" ht="73.5" customHeight="1" x14ac:dyDescent="0.15">
      <c r="A17" s="19"/>
      <c r="B17" s="3">
        <v>3</v>
      </c>
      <c r="C17" s="4" t="s">
        <v>25</v>
      </c>
      <c r="D17" s="4" t="s">
        <v>26</v>
      </c>
      <c r="E17" s="21"/>
      <c r="F17" s="6"/>
      <c r="G17" s="3"/>
      <c r="H17" s="3"/>
    </row>
    <row r="18" spans="1:8" ht="89.25" customHeight="1" x14ac:dyDescent="0.15">
      <c r="A18" s="19"/>
      <c r="B18" s="3">
        <v>4</v>
      </c>
      <c r="C18" s="4" t="s">
        <v>27</v>
      </c>
      <c r="D18" s="4" t="s">
        <v>64</v>
      </c>
      <c r="E18" s="4" t="s">
        <v>63</v>
      </c>
      <c r="F18" s="3"/>
      <c r="G18" s="3"/>
      <c r="H18" s="3"/>
    </row>
    <row r="19" spans="1:8" ht="19.5" customHeight="1" x14ac:dyDescent="0.15">
      <c r="A19" s="12" t="s">
        <v>60</v>
      </c>
      <c r="B19" s="13"/>
      <c r="C19" s="13"/>
      <c r="D19" s="13"/>
      <c r="E19" s="14"/>
      <c r="F19" s="5">
        <f>SUM(F16:F18)</f>
        <v>0</v>
      </c>
      <c r="G19" s="3"/>
      <c r="H19" s="3"/>
    </row>
    <row r="20" spans="1:8" ht="66.75" customHeight="1" x14ac:dyDescent="0.15">
      <c r="A20" s="19" t="s">
        <v>28</v>
      </c>
      <c r="B20" s="3">
        <v>1</v>
      </c>
      <c r="C20" s="4" t="s">
        <v>29</v>
      </c>
      <c r="D20" s="4" t="s">
        <v>49</v>
      </c>
      <c r="E20" s="23" t="s">
        <v>59</v>
      </c>
      <c r="F20" s="3"/>
      <c r="G20" s="3"/>
      <c r="H20" s="3"/>
    </row>
    <row r="21" spans="1:8" ht="59.25" customHeight="1" x14ac:dyDescent="0.15">
      <c r="A21" s="19"/>
      <c r="B21" s="3">
        <v>2</v>
      </c>
      <c r="C21" s="4" t="s">
        <v>30</v>
      </c>
      <c r="D21" s="4" t="s">
        <v>50</v>
      </c>
      <c r="E21" s="24"/>
      <c r="F21" s="3"/>
      <c r="G21" s="3"/>
      <c r="H21" s="3"/>
    </row>
    <row r="22" spans="1:8" ht="42.75" x14ac:dyDescent="0.15">
      <c r="A22" s="19"/>
      <c r="B22" s="3">
        <v>3</v>
      </c>
      <c r="C22" s="4" t="s">
        <v>31</v>
      </c>
      <c r="D22" s="4" t="s">
        <v>32</v>
      </c>
      <c r="E22" s="25"/>
      <c r="F22" s="3"/>
      <c r="G22" s="3"/>
      <c r="H22" s="3"/>
    </row>
    <row r="23" spans="1:8" ht="14.25" x14ac:dyDescent="0.15">
      <c r="A23" s="12" t="s">
        <v>33</v>
      </c>
      <c r="B23" s="13"/>
      <c r="C23" s="13"/>
      <c r="D23" s="13"/>
      <c r="E23" s="14"/>
      <c r="F23" s="5">
        <f>SUM(F20:F22)</f>
        <v>0</v>
      </c>
      <c r="G23" s="3"/>
      <c r="H23" s="3"/>
    </row>
    <row r="24" spans="1:8" ht="21" customHeight="1" x14ac:dyDescent="0.15">
      <c r="A24" s="19" t="s">
        <v>66</v>
      </c>
      <c r="B24" s="3">
        <v>1</v>
      </c>
      <c r="C24" s="4" t="s">
        <v>51</v>
      </c>
      <c r="D24" s="4" t="s">
        <v>65</v>
      </c>
      <c r="E24" s="23" t="s">
        <v>68</v>
      </c>
      <c r="F24" s="28"/>
      <c r="G24" s="3"/>
      <c r="H24" s="3"/>
    </row>
    <row r="25" spans="1:8" ht="36" customHeight="1" x14ac:dyDescent="0.15">
      <c r="A25" s="19"/>
      <c r="B25" s="3">
        <v>2</v>
      </c>
      <c r="C25" s="4" t="s">
        <v>67</v>
      </c>
      <c r="D25" s="4" t="s">
        <v>34</v>
      </c>
      <c r="E25" s="25"/>
      <c r="F25" s="30"/>
      <c r="G25" s="3"/>
      <c r="H25" s="3"/>
    </row>
    <row r="26" spans="1:8" ht="20.25" customHeight="1" x14ac:dyDescent="0.15">
      <c r="A26" s="12" t="s">
        <v>35</v>
      </c>
      <c r="B26" s="13"/>
      <c r="C26" s="13"/>
      <c r="D26" s="13"/>
      <c r="E26" s="14"/>
      <c r="F26" s="5">
        <f>SUM(F24:F25)</f>
        <v>0</v>
      </c>
      <c r="G26" s="3"/>
      <c r="H26" s="3"/>
    </row>
    <row r="27" spans="1:8" ht="44.25" customHeight="1" x14ac:dyDescent="0.15">
      <c r="A27" s="2" t="s">
        <v>55</v>
      </c>
      <c r="B27" s="20">
        <f>F26+F23+F19+F15+F10</f>
        <v>0</v>
      </c>
      <c r="C27" s="20"/>
      <c r="D27" s="20"/>
      <c r="E27" s="20"/>
      <c r="F27" s="21" t="s">
        <v>56</v>
      </c>
      <c r="G27" s="21"/>
      <c r="H27" s="21"/>
    </row>
    <row r="28" spans="1:8" ht="21.75" customHeight="1" x14ac:dyDescent="0.15">
      <c r="A28" s="2" t="s">
        <v>73</v>
      </c>
      <c r="B28" s="15" t="s">
        <v>72</v>
      </c>
      <c r="C28" s="15"/>
      <c r="D28" s="15"/>
      <c r="E28" s="15"/>
      <c r="F28" s="15"/>
      <c r="G28" s="15"/>
      <c r="H28" s="15"/>
    </row>
    <row r="29" spans="1:8" ht="24.75" customHeight="1" x14ac:dyDescent="0.15">
      <c r="A29" s="2" t="s">
        <v>70</v>
      </c>
      <c r="B29" s="15" t="s">
        <v>61</v>
      </c>
      <c r="C29" s="15"/>
      <c r="D29" s="15"/>
      <c r="E29" s="15"/>
      <c r="F29" s="22" t="s">
        <v>71</v>
      </c>
      <c r="G29" s="22"/>
      <c r="H29" s="22"/>
    </row>
    <row r="30" spans="1:8" ht="28.5" customHeight="1" x14ac:dyDescent="0.15">
      <c r="A30" s="7" t="s">
        <v>36</v>
      </c>
      <c r="B30" s="15"/>
      <c r="C30" s="15"/>
      <c r="D30" s="15"/>
      <c r="E30" s="7" t="s">
        <v>37</v>
      </c>
      <c r="F30" s="16" t="s">
        <v>52</v>
      </c>
      <c r="G30" s="17"/>
      <c r="H30" s="18"/>
    </row>
    <row r="31" spans="1:8" ht="14.25" x14ac:dyDescent="0.15">
      <c r="A31" s="8" t="s">
        <v>53</v>
      </c>
      <c r="B31" s="9"/>
      <c r="C31" s="10"/>
      <c r="D31" s="9"/>
      <c r="E31" s="9"/>
      <c r="F31" s="9"/>
      <c r="G31" s="9"/>
      <c r="H31" s="9"/>
    </row>
  </sheetData>
  <mergeCells count="29">
    <mergeCell ref="A7:A9"/>
    <mergeCell ref="E7:E9"/>
    <mergeCell ref="A1:H1"/>
    <mergeCell ref="A2:H2"/>
    <mergeCell ref="C4:D4"/>
    <mergeCell ref="C5:D5"/>
    <mergeCell ref="C6:D6"/>
    <mergeCell ref="F7:F9"/>
    <mergeCell ref="A11:A14"/>
    <mergeCell ref="E11:E14"/>
    <mergeCell ref="A16:A18"/>
    <mergeCell ref="E16:E17"/>
    <mergeCell ref="A10:E10"/>
    <mergeCell ref="A15:E15"/>
    <mergeCell ref="A19:E19"/>
    <mergeCell ref="B30:D30"/>
    <mergeCell ref="F30:H30"/>
    <mergeCell ref="A20:A22"/>
    <mergeCell ref="A24:A25"/>
    <mergeCell ref="B27:E27"/>
    <mergeCell ref="F27:H27"/>
    <mergeCell ref="B28:H28"/>
    <mergeCell ref="B29:E29"/>
    <mergeCell ref="F29:H29"/>
    <mergeCell ref="E20:E22"/>
    <mergeCell ref="A23:E23"/>
    <mergeCell ref="A26:E26"/>
    <mergeCell ref="E24:E25"/>
    <mergeCell ref="F24:F25"/>
  </mergeCells>
  <phoneticPr fontId="1" type="noConversion"/>
  <pageMargins left="0.7" right="0.7" top="0.75" bottom="0.75" header="0.3" footer="0.3"/>
  <pageSetup paperSize="9" scale="6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Users</dc:creator>
  <cp:lastModifiedBy>UJTV</cp:lastModifiedBy>
  <cp:lastPrinted>2025-04-17T09:39:49Z</cp:lastPrinted>
  <dcterms:created xsi:type="dcterms:W3CDTF">2006-09-16T00:00:00Z</dcterms:created>
  <dcterms:modified xsi:type="dcterms:W3CDTF">2026-10-10T07:23:39Z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7BC40022963E41578246A8AC2F35A1AC_13</vt:lpwstr>
  </property>
</Properties>
</file>